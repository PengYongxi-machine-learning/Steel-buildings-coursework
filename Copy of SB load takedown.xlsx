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ohnpeng/Desktop/"/>
    </mc:Choice>
  </mc:AlternateContent>
  <xr:revisionPtr revIDLastSave="0" documentId="8_{58860075-B993-E54E-87A0-2A4AFAFFDDA8}" xr6:coauthVersionLast="47" xr6:coauthVersionMax="47" xr10:uidLastSave="{00000000-0000-0000-0000-000000000000}"/>
  <bookViews>
    <workbookView xWindow="0" yWindow="500" windowWidth="28800" windowHeight="15720" firstSheet="1" activeTab="1" xr2:uid="{8A96B0E8-DD86-4548-923C-FE941BFEA8CC}"/>
  </bookViews>
  <sheets>
    <sheet name="Secondary beams" sheetId="1" r:id="rId1"/>
    <sheet name="Primary beams - Column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3" l="1"/>
  <c r="B30" i="3"/>
  <c r="N34" i="1"/>
  <c r="N27" i="1"/>
  <c r="N22" i="1"/>
  <c r="J22" i="1"/>
  <c r="N35" i="1"/>
  <c r="N36" i="1" s="1"/>
  <c r="B34" i="3"/>
  <c r="F22" i="1"/>
  <c r="B35" i="3" l="1"/>
  <c r="B22" i="1" l="1"/>
  <c r="C3" i="1"/>
  <c r="C11" i="1"/>
  <c r="F31" i="1" l="1"/>
  <c r="F32" i="1" s="1"/>
  <c r="F30" i="1"/>
  <c r="B23" i="3" s="1"/>
  <c r="B25" i="3" s="1"/>
  <c r="B30" i="1"/>
  <c r="B20" i="3" s="1"/>
  <c r="B24" i="3" s="1"/>
  <c r="C13" i="3"/>
  <c r="B3" i="3"/>
  <c r="C14" i="3" s="1"/>
  <c r="J31" i="1"/>
  <c r="J32" i="1" s="1"/>
  <c r="J30" i="1"/>
  <c r="B31" i="1"/>
  <c r="B32" i="1" s="1"/>
  <c r="B10" i="3" l="1"/>
  <c r="B9" i="3"/>
  <c r="C15" i="3"/>
</calcChain>
</file>

<file path=xl/sharedStrings.xml><?xml version="1.0" encoding="utf-8"?>
<sst xmlns="http://schemas.openxmlformats.org/spreadsheetml/2006/main" count="135" uniqueCount="52">
  <si>
    <t>Loading arrangement (floor)</t>
  </si>
  <si>
    <t>LL</t>
  </si>
  <si>
    <t>Floor load</t>
  </si>
  <si>
    <t>SUM</t>
  </si>
  <si>
    <t>DL (kN/m^2)</t>
  </si>
  <si>
    <t>Tiles</t>
  </si>
  <si>
    <t>Slab</t>
  </si>
  <si>
    <t>Steel</t>
  </si>
  <si>
    <t>Partitions</t>
  </si>
  <si>
    <t>Services</t>
  </si>
  <si>
    <t>Ceiling</t>
  </si>
  <si>
    <t>Load on secondary beam (Internal)</t>
  </si>
  <si>
    <t>Load on secondary beam (External)</t>
  </si>
  <si>
    <t>Loads on secondary beam (external slanted)</t>
  </si>
  <si>
    <t>Load on secondary beam (Internal at slanted side)</t>
  </si>
  <si>
    <t>Tributary Area Internal (Square)</t>
  </si>
  <si>
    <t>Tributary Area Edge (Triangle)</t>
  </si>
  <si>
    <t>Tributary Area Internal (triangle)</t>
  </si>
  <si>
    <t>x</t>
  </si>
  <si>
    <t>m</t>
  </si>
  <si>
    <t>y</t>
  </si>
  <si>
    <t xml:space="preserve">Area </t>
  </si>
  <si>
    <t>m^2</t>
  </si>
  <si>
    <t>Load combinations</t>
  </si>
  <si>
    <t>Gk</t>
  </si>
  <si>
    <t>Qk</t>
  </si>
  <si>
    <t>Wk</t>
  </si>
  <si>
    <t>Area</t>
  </si>
  <si>
    <t>Load on secondary beam</t>
  </si>
  <si>
    <t>P</t>
  </si>
  <si>
    <t>kN</t>
  </si>
  <si>
    <t>wk</t>
  </si>
  <si>
    <t>kN / m</t>
  </si>
  <si>
    <t>Mmax</t>
  </si>
  <si>
    <t>kN*m</t>
  </si>
  <si>
    <r>
      <t xml:space="preserve">Loading on </t>
    </r>
    <r>
      <rPr>
        <sz val="16"/>
        <color rgb="FFFF0000"/>
        <rFont val="Aptos Narrow"/>
        <family val="2"/>
        <scheme val="minor"/>
      </rPr>
      <t>internal columns</t>
    </r>
  </si>
  <si>
    <r>
      <t xml:space="preserve">Load condition on </t>
    </r>
    <r>
      <rPr>
        <sz val="11"/>
        <color rgb="FFFF0000"/>
        <rFont val="Aptos Narrow"/>
        <family val="2"/>
        <scheme val="minor"/>
      </rPr>
      <t>Internal primary beams</t>
    </r>
  </si>
  <si>
    <t>Point load</t>
  </si>
  <si>
    <t>Beam properties</t>
  </si>
  <si>
    <t>Length</t>
  </si>
  <si>
    <t>Load on primary beam</t>
  </si>
  <si>
    <t>Vmax</t>
  </si>
  <si>
    <r>
      <t>Load condition</t>
    </r>
    <r>
      <rPr>
        <sz val="11"/>
        <color rgb="FFFF0000"/>
        <rFont val="Aptos Narrow"/>
        <family val="2"/>
        <scheme val="minor"/>
      </rPr>
      <t xml:space="preserve"> Internal columns</t>
    </r>
  </si>
  <si>
    <t>Load by secondary beam</t>
  </si>
  <si>
    <t>Load by primary beam</t>
  </si>
  <si>
    <t xml:space="preserve">Total load </t>
  </si>
  <si>
    <r>
      <t xml:space="preserve">Loading on </t>
    </r>
    <r>
      <rPr>
        <sz val="16"/>
        <color rgb="FFFF0000"/>
        <rFont val="Aptos Narrow"/>
        <family val="2"/>
        <scheme val="minor"/>
      </rPr>
      <t>Corner columns (straight edge)</t>
    </r>
  </si>
  <si>
    <r>
      <t xml:space="preserve">Load condition on </t>
    </r>
    <r>
      <rPr>
        <sz val="11"/>
        <color rgb="FFFF0000"/>
        <rFont val="Aptos Narrow"/>
        <family val="2"/>
        <scheme val="minor"/>
      </rPr>
      <t>External primary beams</t>
    </r>
  </si>
  <si>
    <t>Point Load</t>
  </si>
  <si>
    <r>
      <t xml:space="preserve">Load condition </t>
    </r>
    <r>
      <rPr>
        <sz val="11"/>
        <color rgb="FFFF0000"/>
        <rFont val="Aptos Narrow"/>
        <family val="2"/>
        <scheme val="minor"/>
      </rPr>
      <t>edge columns</t>
    </r>
  </si>
  <si>
    <t>Total load</t>
  </si>
  <si>
    <r>
      <t xml:space="preserve">Loading on </t>
    </r>
    <r>
      <rPr>
        <sz val="16"/>
        <color rgb="FFFF0000"/>
        <rFont val="Aptos Narrow"/>
        <family val="2"/>
        <scheme val="minor"/>
      </rPr>
      <t>Corner columns (slanted edge)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</si>
</sst>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png"/><Relationship Id="rId7" Type="http://schemas.openxmlformats.org/officeDocument/2006/relationships/customXml" Target="../ink/ink3.xml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openxmlformats.org/officeDocument/2006/relationships/customXml" Target="../ink/ink2.xml"/><Relationship Id="rId10" Type="http://schemas.openxmlformats.org/officeDocument/2006/relationships/customXml" Target="../ink/ink4.xml"/><Relationship Id="rId4" Type="http://schemas.openxmlformats.org/officeDocument/2006/relationships/image" Target="../media/image3.pn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152399</xdr:rowOff>
    </xdr:from>
    <xdr:to>
      <xdr:col>11</xdr:col>
      <xdr:colOff>380999</xdr:colOff>
      <xdr:row>15</xdr:row>
      <xdr:rowOff>180974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979BB5-7ACE-BDAF-BB13-ABCDB8B4FBEA}"/>
            </a:ext>
          </a:extLst>
        </xdr:cNvPr>
        <xdr:cNvSpPr txBox="1"/>
      </xdr:nvSpPr>
      <xdr:spPr>
        <a:xfrm>
          <a:off x="3086100" y="2438399"/>
          <a:ext cx="2209799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Assume : Edge secondary beam takes loads on area = area of full triangle - half the tributary triangle</a:t>
          </a:r>
        </a:p>
      </xdr:txBody>
    </xdr:sp>
    <xdr:clientData/>
  </xdr:twoCellAnchor>
  <xdr:twoCellAnchor>
    <xdr:from>
      <xdr:col>0</xdr:col>
      <xdr:colOff>9525</xdr:colOff>
      <xdr:row>12</xdr:row>
      <xdr:rowOff>171450</xdr:rowOff>
    </xdr:from>
    <xdr:to>
      <xdr:col>2</xdr:col>
      <xdr:colOff>161925</xdr:colOff>
      <xdr:row>15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9EC1C8-DBF2-F004-A17B-936DDD805E8B}"/>
            </a:ext>
          </a:extLst>
        </xdr:cNvPr>
        <xdr:cNvSpPr txBox="1"/>
      </xdr:nvSpPr>
      <xdr:spPr>
        <a:xfrm>
          <a:off x="9525" y="2457450"/>
          <a:ext cx="20193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Remember that tributary area</a:t>
          </a:r>
          <a:r>
            <a:rPr lang="en-US" sz="1100" baseline="0"/>
            <a:t> may vary towards the edge columns</a:t>
          </a:r>
          <a:endParaRPr lang="en-US" sz="1100"/>
        </a:p>
      </xdr:txBody>
    </xdr:sp>
    <xdr:clientData/>
  </xdr:twoCellAnchor>
  <xdr:twoCellAnchor editAs="oneCell">
    <xdr:from>
      <xdr:col>10</xdr:col>
      <xdr:colOff>295275</xdr:colOff>
      <xdr:row>32</xdr:row>
      <xdr:rowOff>152400</xdr:rowOff>
    </xdr:from>
    <xdr:to>
      <xdr:col>11</xdr:col>
      <xdr:colOff>590676</xdr:colOff>
      <xdr:row>43</xdr:row>
      <xdr:rowOff>47903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423C60-854D-31F4-979F-5B32549C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075" y="6248400"/>
          <a:ext cx="905001" cy="1991003"/>
        </a:xfrm>
        <a:prstGeom prst="rect">
          <a:avLst/>
        </a:prstGeom>
      </xdr:spPr>
    </xdr:pic>
    <xdr:clientData/>
  </xdr:twoCellAnchor>
  <xdr:twoCellAnchor editAs="oneCell">
    <xdr:from>
      <xdr:col>10</xdr:col>
      <xdr:colOff>355135</xdr:colOff>
      <xdr:row>35</xdr:row>
      <xdr:rowOff>8160</xdr:rowOff>
    </xdr:from>
    <xdr:to>
      <xdr:col>11</xdr:col>
      <xdr:colOff>166505</xdr:colOff>
      <xdr:row>37</xdr:row>
      <xdr:rowOff>48540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D6E33EA-49F1-F331-B488-BC4937114581}"/>
                </a:ext>
              </a:extLst>
            </xdr14:cNvPr>
            <xdr14:cNvContentPartPr/>
          </xdr14:nvContentPartPr>
          <xdr14:nvPr macro=""/>
          <xdr14:xfrm rot="-547738">
            <a:off x="9041935" y="6675660"/>
            <a:ext cx="420970" cy="4213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D6E33EA-49F1-F331-B488-BC493711458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 rot="-547738">
              <a:off x="9035813" y="6669537"/>
              <a:ext cx="433214" cy="4336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600075</xdr:colOff>
      <xdr:row>32</xdr:row>
      <xdr:rowOff>47625</xdr:rowOff>
    </xdr:from>
    <xdr:to>
      <xdr:col>8</xdr:col>
      <xdr:colOff>895476</xdr:colOff>
      <xdr:row>42</xdr:row>
      <xdr:rowOff>133628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6A808BB-EEAF-13E4-8D63-D86472EF0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5575" y="6143625"/>
          <a:ext cx="905001" cy="199100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32</xdr:row>
      <xdr:rowOff>19050</xdr:rowOff>
    </xdr:from>
    <xdr:to>
      <xdr:col>1</xdr:col>
      <xdr:colOff>819413</xdr:colOff>
      <xdr:row>43</xdr:row>
      <xdr:rowOff>86027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3B5790-CAE7-5FF0-7789-258D3ABBB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6115050"/>
          <a:ext cx="1886213" cy="2162477"/>
        </a:xfrm>
        <a:prstGeom prst="rect">
          <a:avLst/>
        </a:prstGeom>
      </xdr:spPr>
    </xdr:pic>
    <xdr:clientData/>
  </xdr:twoCellAnchor>
  <xdr:twoCellAnchor editAs="oneCell">
    <xdr:from>
      <xdr:col>8</xdr:col>
      <xdr:colOff>319212</xdr:colOff>
      <xdr:row>35</xdr:row>
      <xdr:rowOff>136357</xdr:rowOff>
    </xdr:from>
    <xdr:to>
      <xdr:col>8</xdr:col>
      <xdr:colOff>745518</xdr:colOff>
      <xdr:row>37</xdr:row>
      <xdr:rowOff>181283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1106247D-4677-1EE7-A838-B4C67EF3BE6F}"/>
                </a:ext>
              </a:extLst>
            </xdr14:cNvPr>
            <xdr14:cNvContentPartPr/>
          </xdr14:nvContentPartPr>
          <xdr14:nvPr macro=""/>
          <xdr14:xfrm rot="-1268557">
            <a:off x="6834312" y="6803857"/>
            <a:ext cx="426306" cy="425926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1106247D-4677-1EE7-A838-B4C67EF3BE6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 rot="-1268557">
              <a:off x="6828191" y="6797736"/>
              <a:ext cx="438548" cy="4381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735840</xdr:colOff>
      <xdr:row>36</xdr:row>
      <xdr:rowOff>117060</xdr:rowOff>
    </xdr:from>
    <xdr:to>
      <xdr:col>1</xdr:col>
      <xdr:colOff>19020</xdr:colOff>
      <xdr:row>38</xdr:row>
      <xdr:rowOff>124500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FFB5909-040E-D891-043D-CB8BDF320425}"/>
                </a:ext>
              </a:extLst>
            </xdr14:cNvPr>
            <xdr14:cNvContentPartPr/>
          </xdr14:nvContentPartPr>
          <xdr14:nvPr macro=""/>
          <xdr14:xfrm>
            <a:off x="735840" y="6975060"/>
            <a:ext cx="388080" cy="3884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FFB5909-040E-D891-043D-CB8BDF32042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29720" y="6968940"/>
              <a:ext cx="400320" cy="40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6910</xdr:colOff>
      <xdr:row>32</xdr:row>
      <xdr:rowOff>66675</xdr:rowOff>
    </xdr:from>
    <xdr:to>
      <xdr:col>6</xdr:col>
      <xdr:colOff>95553</xdr:colOff>
      <xdr:row>44</xdr:row>
      <xdr:rowOff>162332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81BF45A-2B83-AD36-BC4E-FFB3F5884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73985" y="6162675"/>
          <a:ext cx="1774568" cy="2381657"/>
        </a:xfrm>
        <a:prstGeom prst="rect">
          <a:avLst/>
        </a:prstGeom>
      </xdr:spPr>
    </xdr:pic>
    <xdr:clientData/>
  </xdr:twoCellAnchor>
  <xdr:twoCellAnchor editAs="oneCell">
    <xdr:from>
      <xdr:col>4</xdr:col>
      <xdr:colOff>775005</xdr:colOff>
      <xdr:row>38</xdr:row>
      <xdr:rowOff>79140</xdr:rowOff>
    </xdr:from>
    <xdr:to>
      <xdr:col>5</xdr:col>
      <xdr:colOff>186120</xdr:colOff>
      <xdr:row>40</xdr:row>
      <xdr:rowOff>185220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4C515696-F111-F45D-142E-D05982D941CA}"/>
                </a:ext>
              </a:extLst>
            </xdr14:cNvPr>
            <xdr14:cNvContentPartPr/>
          </xdr14:nvContentPartPr>
          <xdr14:nvPr macro=""/>
          <xdr14:xfrm>
            <a:off x="4042080" y="7318140"/>
            <a:ext cx="487440" cy="4870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4C515696-F111-F45D-142E-D05982D941C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35960" y="7312020"/>
              <a:ext cx="499680" cy="499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276225</xdr:colOff>
      <xdr:row>12</xdr:row>
      <xdr:rowOff>161925</xdr:rowOff>
    </xdr:from>
    <xdr:to>
      <xdr:col>14</xdr:col>
      <xdr:colOff>438150</xdr:colOff>
      <xdr:row>15</xdr:row>
      <xdr:rowOff>123825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6DDF447-398F-DF6B-86E1-6FD80DA32303}"/>
            </a:ext>
          </a:extLst>
        </xdr:cNvPr>
        <xdr:cNvSpPr txBox="1"/>
      </xdr:nvSpPr>
      <xdr:spPr>
        <a:xfrm>
          <a:off x="10182225" y="2447925"/>
          <a:ext cx="304800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Assume</a:t>
          </a:r>
          <a:r>
            <a:rPr lang="en-US" sz="1100" baseline="0"/>
            <a:t> : Internal secondary beam takes loads on half the tributary triangle and half the rectangle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185737</xdr:rowOff>
    </xdr:from>
    <xdr:to>
      <xdr:col>7</xdr:col>
      <xdr:colOff>47625</xdr:colOff>
      <xdr:row>4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4D2A2A-62F8-85F2-07FE-DE3C97044B12}"/>
            </a:ext>
          </a:extLst>
        </xdr:cNvPr>
        <xdr:cNvSpPr txBox="1"/>
      </xdr:nvSpPr>
      <xdr:spPr>
        <a:xfrm>
          <a:off x="5457825" y="452437"/>
          <a:ext cx="2476500" cy="6143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Change the internal secondary beam tributary area</a:t>
          </a:r>
          <a:r>
            <a:rPr lang="en-US" sz="1100" baseline="0"/>
            <a:t> to get loadings on internal columns</a:t>
          </a:r>
          <a:endParaRPr lang="en-US" sz="1100"/>
        </a:p>
      </xdr:txBody>
    </xdr:sp>
    <xdr:clientData/>
  </xdr:twoCellAnchor>
  <xdr:oneCellAnchor>
    <xdr:from>
      <xdr:col>5</xdr:col>
      <xdr:colOff>38100</xdr:colOff>
      <xdr:row>15</xdr:row>
      <xdr:rowOff>171449</xdr:rowOff>
    </xdr:from>
    <xdr:ext cx="2819400" cy="86677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BDBEAF-C506-3C12-3621-A79490320327}"/>
            </a:ext>
          </a:extLst>
        </xdr:cNvPr>
        <xdr:cNvSpPr txBox="1"/>
      </xdr:nvSpPr>
      <xdr:spPr>
        <a:xfrm>
          <a:off x="7648575" y="3276599"/>
          <a:ext cx="2819400" cy="866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114299</xdr:colOff>
      <xdr:row>17</xdr:row>
      <xdr:rowOff>161925</xdr:rowOff>
    </xdr:from>
    <xdr:to>
      <xdr:col>7</xdr:col>
      <xdr:colOff>238124</xdr:colOff>
      <xdr:row>21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9BC67C8-BE7E-0CDB-C017-D84991EED8C8}"/>
            </a:ext>
          </a:extLst>
        </xdr:cNvPr>
        <xdr:cNvSpPr txBox="1"/>
      </xdr:nvSpPr>
      <xdr:spPr>
        <a:xfrm>
          <a:off x="6505574" y="3648075"/>
          <a:ext cx="256222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Change internal secondary beam and external</a:t>
          </a:r>
          <a:r>
            <a:rPr lang="en-US" sz="1100" baseline="0"/>
            <a:t> secondary beam tributary areas to get Loading on corner columns (straight edge)</a:t>
          </a:r>
          <a:endParaRPr lang="en-US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8T21:50:37.9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1168 585 24518,'0'23'0,"-2"0"0,0-1 0,-1 1 0,-1 0 0,-1-1 0,-1 0 0,0 0 0,-2 0 0,0-1 0,-1 0 0,-1 0 0,-1-1 0,-1 0 0,0 0 0,-1-2 0,-1 1 0,-1-2 0,0 1 0,-1-2 0,0 0 0,-2-1 0,1 0 0,-2-1 0,1-1 0,-2-1 0,1 0 0,-2-1 0,1-1 0,-1-1 0,-1-1 0,1 0 0,-1-2 0,-1 0 0,1-1 0,-1-1 0,1-1 0,-1 0 0,0-2 0,0-1 0,0 0 0,0-1 0,0-2 0,1 0 0,-1-1 0,1-1 0,0-1 0,0 0 0,0-2 0,1 0 0,0-1 0,0-1 0,1-1 0,0-1 0,1 0 0,0-1 0,0-1 0,2-1 0,0 0 0,0-1 0,1 0 0,1-2 0,0 1 0,2-2 0,-1 1 0,2-2 0,0 0 0,2 0 0,0-1 0,0 0 0,2 0 0,1-1 0,0 0 0,1 0 0,1 0 0,1-1 0,1 0 0,1 1 0,0-1 0,2 0 0,0 0 0,2 0 0,0 0 0,1 0 0,1 1 0,1-1 0,1 1 0,1 0 0,0 0 0,1 1 0,2 0 0,0 0 0,0 1 0,2 0 0,0 1 0,2 0 0,-1 1 0,2 0 0,0 1 0,1 0 0,1 1 0,0 1 0,0 1 0,2 0 0,0 1 0,0 0 0,1 2 0,0 0 0,1 1 0,0 1 0,0 0 0,1 2 0,0 0 0,0 1 0,0 1 0,1 1 0,-1 1 0,1 1 0,0 0 0,0 2 0,0 0 0,0 2 0,0 0 0,-1 1 0,1 1 0,-1 1 0,1 1 0,-1 1 0,-1 0 0,1 2 0,-1 0 0,-1 1 0,1 1 0,-2 0 0,1 2 0,-2 0 0,1 1 0,-2 0 0,1 1 0,-2 1 0,0 1 0,-1 0 0,0 1 0,-1 0 0,-1 1 0,-1 0 0,0 1 0,-1 0 0,-1 1 0,-1 0 0,-1 0 0,0 1 0,-2 0 0,0 0 0,-1 1 0,-1-1 0,-1 1 0,-1 0 0,0 0 0,-2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8T21:52:56.4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1183 591 24454,'0'23'0,"-2"0"0,0 1 0,-1-2 0,-1 1 0,-1 0 0,-1-1 0,-1 1 0,0-1 0,-2-1 0,0 0 0,-1 0 0,-1 0 0,-1-1 0,-1-1 0,0 0 0,-1 0 0,-1-1 0,0-1 0,-1 0 0,-1-1 0,0-1 0,-1 0 0,-1-1 0,0-1 0,0 0 0,-1-1 0,-1-1 0,0-1 0,0-1 0,-1 0 0,0-2 0,0 0 0,0-1 0,-1-1 0,0-1 0,0-1 0,0-1 0,0 0 0,0-2 0,-1 0 0,1-2 0,0 0 0,0-1 0,0-1 0,0-1 0,1-1 0,0-1 0,0 0 0,0-2 0,1 0 0,0-1 0,1-1 0,-1-1 0,2-1 0,0 0 0,0-1 0,1-1 0,1 0 0,0-1 0,1-1 0,1 0 0,0-1 0,1-1 0,1 0 0,0 0 0,1-1 0,1-1 0,1 0 0,1 0 0,1 0 0,0-1 0,1-1 0,1 1 0,1-1 0,1 0 0,1 1 0,1-2 0,0 1 0,2 0 0,0 0 0,2 0 0,0 0 0,1 0 0,1 0 0,1 0 0,1 1 0,1-1 0,1 1 0,0 1 0,1 0 0,1 0 0,1 0 0,1 1 0,1 1 0,0 0 0,1 0 0,1 1 0,0 1 0,1 0 0,1 1 0,0 1 0,1 0 0,1 1 0,0 1 0,0 0 0,2 1 0,-1 1 0,1 1 0,0 1 0,1 1 0,0 0 0,0 1 0,0 1 0,1 1 0,0 1 0,0 1 0,0 1 0,0 0 0,1 2 0,-1 0 0,0 2 0,0 0 0,0 1 0,0 1 0,0 1 0,-1 1 0,0 1 0,0 1 0,0 0 0,-1 1 0,0 1 0,0 1 0,-1 1 0,-1 1 0,0 0 0,0 1 0,-1 1 0,-1 0 0,0 1 0,-1 1 0,-1 0 0,0 1 0,-1 1 0,-1 0 0,0 0 0,-1 1 0,-1 1 0,-1 0 0,-1 0 0,0 0 0,-2 1 0,0 1 0,-1-1 0,-1 1 0,-1 0 0,-1 0 0,-1 0 0,0 0 0,-2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8T21:53:02.4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1077 539 24509,'0'21'0,"-2"0"0,0 0 0,-1 0 0,0 0 0,-2 0 0,0-1 0,-1 1 0,-1-1 0,-1-1 0,0 1 0,-2-1 0,0-1 0,0 1 0,-2-2 0,0 1 0,-1-1 0,0-1 0,-1 0 0,-1-1 0,0 0 0,-1-1 0,0-1 0,-1 0 0,0-1 0,-1 0 0,0-2 0,-1 0 0,0-1 0,0 0 0,-1-1 0,0-1 0,0-1 0,-1-1 0,1 0 0,-1-2 0,0 0 0,0-1 0,0 0 0,0-2 0,-1 0 0,1-2 0,0 0 0,0-1 0,0 0 0,1-2 0,-1 0 0,1-1 0,0-1 0,0-1 0,1-1 0,0 0 0,0-1 0,1 0 0,0-2 0,1 0 0,0-1 0,1 0 0,0-1 0,1-1 0,0 0 0,1-1 0,1 0 0,0-1 0,1-1 0,0 1 0,2-2 0,0 1 0,0-1 0,2-1 0,0 1 0,1-1 0,1-1 0,1 1 0,0-1 0,2 0 0,0 0 0,1 0 0,0 0 0,2 0 0,0 0 0,2 0 0,0 0 0,1 0 0,0 0 0,2 0 0,0 1 0,1-1 0,1 1 0,1 1 0,0-1 0,2 1 0,0 1 0,0-1 0,2 2 0,0-1 0,1 1 0,0 1 0,1 0 0,1 1 0,0 0 0,1 1 0,0 1 0,1 0 0,0 1 0,1 0 0,0 2 0,1 0 0,0 1 0,0 0 0,1 1 0,0 1 0,0 1 0,1 1 0,-1 0 0,1 2 0,0 0 0,0 1 0,0 0 0,1 2 0,-1 0 0,0 2 0,0 0 0,0 1 0,0 0 0,-1 2 0,1 0 0,-1 1 0,0 1 0,0 1 0,-1 1 0,0 0 0,0 1 0,-1 0 0,0 2 0,-1 0 0,0 1 0,-1 0 0,0 1 0,-1 1 0,0 0 0,-1 1 0,-1 0 0,0 1 0,-1 1 0,0-1 0,-2 2 0,0-1 0,0 1 0,-2 1 0,0-1 0,-1 1 0,-1 1 0,-1-1 0,0 1 0,-2 0 0,0 0 0,-1 0 0,0 0 0,-2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8T21:53:58.03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1353 676 24449,'-1'27'0,"0"-1"0,-2 0 0,0 1 0,-2-1 0,-1 0 0,0-1 0,-2 1 0,-1-1 0,0 0 0,-2-1 0,-1 0 0,0-1 0,-2 0 0,0 0 0,-1-2 0,-1 1 0,-1-2 0,-1 0 0,0-1 0,-1-1 0,-1 0 0,-1-1 0,0-1 0,-1-1 0,0-1 0,-1 0 0,0-2 0,-1 0 0,-1-1 0,1-2 0,-1 0 0,-1-1 0,0-2 0,0 0 0,0-1 0,0-2 0,0 0 0,-1-2 0,1 0 0,-1-2 0,0 0 0,1-2 0,0 0 0,0-2 0,0-1 0,0 0 0,0-2 0,1-1 0,1 0 0,-1-2 0,1-1 0,1 0 0,0-2 0,1 0 0,0-1 0,1-1 0,0-1 0,1-1 0,1 0 0,1-1 0,0-1 0,1 0 0,1-2 0,1 1 0,1-2 0,0 0 0,2 0 0,0-1 0,1 0 0,2-1 0,0 0 0,1-1 0,2 1 0,0-1 0,1 0 0,2-1 0,0 1 0,2 0 0,0-1 0,2 0 0,0 1 0,2 0 0,0-1 0,2 1 0,1 0 0,0 1 0,2-1 0,1 1 0,0 0 0,2 1 0,1 0 0,0 1 0,2 0 0,0 0 0,1 2 0,1-1 0,1 2 0,1 0 0,0 1 0,1 1 0,1 0 0,1 1 0,0 1 0,1 1 0,0 1 0,1 0 0,0 2 0,1 0 0,1 1 0,-1 2 0,1 0 0,1 1 0,0 2 0,0 0 0,0 1 0,0 2 0,0 0 0,1 2 0,0 0 0,-1 2 0,1 0 0,-1 2 0,0 0 0,0 2 0,0 1 0,0 0 0,0 2 0,-1 1 0,-1 0 0,1 2 0,-1 1 0,-1 0 0,0 2 0,-1 0 0,0 1 0,-1 1 0,0 1 0,-1 1 0,-1 0 0,-1 1 0,0 1 0,-1 0 0,-1 2 0,-1-1 0,-1 2 0,0 0 0,-2 0 0,0 1 0,-1 0 0,-2 1 0,0 0 0,-1 1 0,-2-1 0,0 1 0,-1 0 0,-2 1 0,0-1 0,-2 0 0,0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DA82-0EA4-4670-8FF0-16C17F748060}">
  <dimension ref="A1:O36"/>
  <sheetViews>
    <sheetView topLeftCell="A7" workbookViewId="0">
      <selection activeCell="Q26" sqref="Q26"/>
    </sheetView>
  </sheetViews>
  <sheetFormatPr baseColWidth="10" defaultColWidth="8.83203125" defaultRowHeight="15" x14ac:dyDescent="0.2"/>
  <cols>
    <col min="1" max="1" width="16.5" customWidth="1"/>
    <col min="2" max="2" width="14.1640625" customWidth="1"/>
    <col min="5" max="5" width="16.1640625" customWidth="1"/>
    <col min="7" max="7" width="14.33203125" customWidth="1"/>
    <col min="9" max="9" width="23.5" customWidth="1"/>
    <col min="13" max="13" width="34.1640625" customWidth="1"/>
  </cols>
  <sheetData>
    <row r="1" spans="1:3" x14ac:dyDescent="0.2">
      <c r="A1" s="11" t="s">
        <v>0</v>
      </c>
      <c r="B1" s="11"/>
      <c r="C1" s="11"/>
    </row>
    <row r="2" spans="1:3" x14ac:dyDescent="0.2">
      <c r="A2" s="1" t="s">
        <v>1</v>
      </c>
      <c r="B2" s="1" t="s">
        <v>2</v>
      </c>
      <c r="C2" s="3">
        <v>4</v>
      </c>
    </row>
    <row r="3" spans="1:3" x14ac:dyDescent="0.2">
      <c r="A3" s="1"/>
      <c r="B3" s="1" t="s">
        <v>3</v>
      </c>
      <c r="C3" s="1">
        <f>C2</f>
        <v>4</v>
      </c>
    </row>
    <row r="4" spans="1:3" x14ac:dyDescent="0.2">
      <c r="A4" s="1"/>
      <c r="B4" s="1"/>
      <c r="C4" s="1"/>
    </row>
    <row r="5" spans="1:3" x14ac:dyDescent="0.2">
      <c r="A5" s="1" t="s">
        <v>4</v>
      </c>
      <c r="B5" s="1" t="s">
        <v>5</v>
      </c>
      <c r="C5" s="3">
        <v>0.7</v>
      </c>
    </row>
    <row r="6" spans="1:3" x14ac:dyDescent="0.2">
      <c r="A6" s="1"/>
      <c r="B6" s="1" t="s">
        <v>6</v>
      </c>
      <c r="C6" s="3"/>
    </row>
    <row r="7" spans="1:3" x14ac:dyDescent="0.2">
      <c r="A7" s="1"/>
      <c r="B7" s="1" t="s">
        <v>7</v>
      </c>
      <c r="C7" s="3">
        <v>0.3</v>
      </c>
    </row>
    <row r="8" spans="1:3" x14ac:dyDescent="0.2">
      <c r="A8" s="1"/>
      <c r="B8" s="1" t="s">
        <v>8</v>
      </c>
      <c r="C8" s="3">
        <v>1</v>
      </c>
    </row>
    <row r="9" spans="1:3" x14ac:dyDescent="0.2">
      <c r="A9" s="1"/>
      <c r="B9" s="1" t="s">
        <v>9</v>
      </c>
      <c r="C9" s="3">
        <v>1.4</v>
      </c>
    </row>
    <row r="10" spans="1:3" x14ac:dyDescent="0.2">
      <c r="A10" s="1"/>
      <c r="B10" s="1" t="s">
        <v>10</v>
      </c>
      <c r="C10" s="3">
        <v>0.5</v>
      </c>
    </row>
    <row r="11" spans="1:3" x14ac:dyDescent="0.2">
      <c r="A11" s="1"/>
      <c r="B11" s="1" t="s">
        <v>3</v>
      </c>
      <c r="C11" s="1">
        <f>SUM(C5:C10)</f>
        <v>3.9</v>
      </c>
    </row>
    <row r="17" spans="1:15" x14ac:dyDescent="0.2">
      <c r="A17" s="1" t="s">
        <v>11</v>
      </c>
      <c r="B17" s="1"/>
      <c r="C17" s="1"/>
      <c r="E17" s="1" t="s">
        <v>12</v>
      </c>
      <c r="F17" s="1"/>
      <c r="G17" s="1"/>
      <c r="I17" s="5" t="s">
        <v>13</v>
      </c>
      <c r="J17" s="6"/>
      <c r="K17" s="7"/>
      <c r="M17" s="5" t="s">
        <v>14</v>
      </c>
      <c r="N17" s="6"/>
      <c r="O17" s="7"/>
    </row>
    <row r="18" spans="1:15" x14ac:dyDescent="0.2">
      <c r="A18" s="5"/>
      <c r="B18" s="6"/>
      <c r="C18" s="7"/>
      <c r="E18" s="5"/>
      <c r="F18" s="6"/>
      <c r="G18" s="7"/>
      <c r="I18" s="1"/>
      <c r="J18" s="1"/>
      <c r="K18" s="1"/>
      <c r="M18" s="5"/>
      <c r="N18" s="6"/>
      <c r="O18" s="7"/>
    </row>
    <row r="19" spans="1:15" x14ac:dyDescent="0.2">
      <c r="A19" s="11" t="s">
        <v>15</v>
      </c>
      <c r="B19" s="11"/>
      <c r="C19" s="11"/>
      <c r="E19" s="11" t="s">
        <v>15</v>
      </c>
      <c r="F19" s="11"/>
      <c r="G19" s="11"/>
      <c r="I19" s="11" t="s">
        <v>16</v>
      </c>
      <c r="J19" s="11"/>
      <c r="K19" s="11"/>
      <c r="M19" s="11" t="s">
        <v>17</v>
      </c>
      <c r="N19" s="11"/>
      <c r="O19" s="11"/>
    </row>
    <row r="20" spans="1:15" x14ac:dyDescent="0.2">
      <c r="A20" s="1" t="s">
        <v>18</v>
      </c>
      <c r="B20" s="3">
        <v>4.25</v>
      </c>
      <c r="C20" s="1" t="s">
        <v>19</v>
      </c>
      <c r="E20" s="1" t="s">
        <v>18</v>
      </c>
      <c r="F20" s="3">
        <v>2.75</v>
      </c>
      <c r="G20" s="1" t="s">
        <v>19</v>
      </c>
      <c r="I20" s="1" t="s">
        <v>18</v>
      </c>
      <c r="J20" s="3">
        <v>3.75</v>
      </c>
      <c r="K20" s="1" t="s">
        <v>19</v>
      </c>
      <c r="M20" s="1" t="s">
        <v>18</v>
      </c>
      <c r="N20" s="3">
        <v>3.75</v>
      </c>
      <c r="O20" s="1" t="s">
        <v>19</v>
      </c>
    </row>
    <row r="21" spans="1:15" x14ac:dyDescent="0.2">
      <c r="A21" s="1" t="s">
        <v>20</v>
      </c>
      <c r="B21" s="3">
        <v>13.5</v>
      </c>
      <c r="C21" s="1" t="s">
        <v>19</v>
      </c>
      <c r="E21" s="1" t="s">
        <v>20</v>
      </c>
      <c r="F21" s="3">
        <v>13.5</v>
      </c>
      <c r="G21" s="1" t="s">
        <v>19</v>
      </c>
      <c r="I21" s="1" t="s">
        <v>20</v>
      </c>
      <c r="J21" s="3">
        <v>13.5</v>
      </c>
      <c r="K21" s="1" t="s">
        <v>19</v>
      </c>
      <c r="M21" s="1" t="s">
        <v>20</v>
      </c>
      <c r="N21" s="3">
        <v>13.5</v>
      </c>
      <c r="O21" s="1" t="s">
        <v>19</v>
      </c>
    </row>
    <row r="22" spans="1:15" x14ac:dyDescent="0.2">
      <c r="A22" s="1" t="s">
        <v>21</v>
      </c>
      <c r="B22" s="1">
        <f>B20*B21</f>
        <v>57.375</v>
      </c>
      <c r="C22" s="1" t="s">
        <v>22</v>
      </c>
      <c r="E22" s="1" t="s">
        <v>21</v>
      </c>
      <c r="F22" s="1">
        <f>F20*F21</f>
        <v>37.125</v>
      </c>
      <c r="G22" s="1" t="s">
        <v>22</v>
      </c>
      <c r="I22" s="1" t="s">
        <v>21</v>
      </c>
      <c r="J22" s="1">
        <f>(J20*J21/2)-(((J20/2)*J21)/2)</f>
        <v>12.65625</v>
      </c>
      <c r="K22" s="1" t="s">
        <v>22</v>
      </c>
      <c r="M22" s="1" t="s">
        <v>21</v>
      </c>
      <c r="N22" s="1">
        <f>((N20/2)*N21)/2</f>
        <v>12.65625</v>
      </c>
      <c r="O22" s="1" t="s">
        <v>22</v>
      </c>
    </row>
    <row r="23" spans="1:15" x14ac:dyDescent="0.2">
      <c r="A23" s="1"/>
      <c r="B23" s="1"/>
      <c r="C23" s="1"/>
      <c r="E23" s="1"/>
      <c r="F23" s="1"/>
      <c r="G23" s="1"/>
      <c r="I23" s="5"/>
      <c r="J23" s="6"/>
      <c r="K23" s="7"/>
      <c r="M23" s="5"/>
      <c r="N23" s="6"/>
      <c r="O23" s="7"/>
    </row>
    <row r="24" spans="1:15" x14ac:dyDescent="0.2">
      <c r="A24" s="5" t="s">
        <v>23</v>
      </c>
      <c r="B24" s="6"/>
      <c r="C24" s="7"/>
      <c r="E24" s="5" t="s">
        <v>23</v>
      </c>
      <c r="F24" s="6"/>
      <c r="G24" s="7"/>
      <c r="I24" s="5" t="s">
        <v>23</v>
      </c>
      <c r="J24" s="6"/>
      <c r="K24" s="7"/>
      <c r="M24" s="5" t="s">
        <v>15</v>
      </c>
      <c r="N24" s="6"/>
      <c r="O24" s="7"/>
    </row>
    <row r="25" spans="1:15" x14ac:dyDescent="0.2">
      <c r="A25" s="1" t="s">
        <v>24</v>
      </c>
      <c r="B25" s="17">
        <v>1.35</v>
      </c>
      <c r="C25" s="18"/>
      <c r="E25" s="1" t="s">
        <v>24</v>
      </c>
      <c r="F25" s="17">
        <v>1.35</v>
      </c>
      <c r="G25" s="18"/>
      <c r="I25" s="1" t="s">
        <v>24</v>
      </c>
      <c r="J25" s="16">
        <v>1.35</v>
      </c>
      <c r="K25" s="16"/>
      <c r="M25" s="1" t="s">
        <v>18</v>
      </c>
      <c r="N25" s="3">
        <v>1.875</v>
      </c>
      <c r="O25" s="1" t="s">
        <v>19</v>
      </c>
    </row>
    <row r="26" spans="1:15" x14ac:dyDescent="0.2">
      <c r="A26" s="1" t="s">
        <v>25</v>
      </c>
      <c r="B26" s="17">
        <v>1.5</v>
      </c>
      <c r="C26" s="18"/>
      <c r="E26" s="1" t="s">
        <v>25</v>
      </c>
      <c r="F26" s="17">
        <v>1.5</v>
      </c>
      <c r="G26" s="18"/>
      <c r="I26" s="1" t="s">
        <v>25</v>
      </c>
      <c r="J26" s="16">
        <v>1.5</v>
      </c>
      <c r="K26" s="16"/>
      <c r="M26" s="1" t="s">
        <v>20</v>
      </c>
      <c r="N26" s="3">
        <v>13.5</v>
      </c>
      <c r="O26" s="1" t="s">
        <v>19</v>
      </c>
    </row>
    <row r="27" spans="1:15" x14ac:dyDescent="0.2">
      <c r="A27" s="1" t="s">
        <v>26</v>
      </c>
      <c r="B27" s="17">
        <v>0.75</v>
      </c>
      <c r="C27" s="18"/>
      <c r="E27" s="1" t="s">
        <v>26</v>
      </c>
      <c r="F27" s="17">
        <v>0.75</v>
      </c>
      <c r="G27" s="18"/>
      <c r="I27" s="1" t="s">
        <v>26</v>
      </c>
      <c r="J27" s="16">
        <v>0.75</v>
      </c>
      <c r="K27" s="16"/>
      <c r="M27" s="1" t="s">
        <v>27</v>
      </c>
      <c r="N27" s="1">
        <f>N25*N26</f>
        <v>25.3125</v>
      </c>
      <c r="O27" s="1"/>
    </row>
    <row r="28" spans="1:15" x14ac:dyDescent="0.2">
      <c r="A28" s="5"/>
      <c r="B28" s="6"/>
      <c r="C28" s="7"/>
      <c r="E28" s="5"/>
      <c r="F28" s="6"/>
      <c r="G28" s="7"/>
      <c r="I28" s="5"/>
      <c r="J28" s="6"/>
      <c r="K28" s="7"/>
      <c r="M28" s="5" t="s">
        <v>23</v>
      </c>
      <c r="N28" s="6"/>
      <c r="O28" s="7"/>
    </row>
    <row r="29" spans="1:15" x14ac:dyDescent="0.2">
      <c r="A29" s="12" t="s">
        <v>28</v>
      </c>
      <c r="B29" s="13"/>
      <c r="C29" s="14"/>
      <c r="E29" s="12" t="s">
        <v>28</v>
      </c>
      <c r="F29" s="13"/>
      <c r="G29" s="14"/>
      <c r="I29" s="15" t="s">
        <v>28</v>
      </c>
      <c r="J29" s="15"/>
      <c r="K29" s="15"/>
      <c r="M29" s="1" t="s">
        <v>24</v>
      </c>
      <c r="N29" s="17">
        <v>1.35</v>
      </c>
      <c r="O29" s="18"/>
    </row>
    <row r="30" spans="1:15" x14ac:dyDescent="0.2">
      <c r="A30" s="1" t="s">
        <v>29</v>
      </c>
      <c r="B30" s="1">
        <f>(B25*C11+B26*C3)*B22</f>
        <v>646.32937500000003</v>
      </c>
      <c r="C30" s="1" t="s">
        <v>30</v>
      </c>
      <c r="E30" s="1" t="s">
        <v>29</v>
      </c>
      <c r="F30" s="1">
        <f>F22*(F25*C11+F26*C3)</f>
        <v>418.21312500000005</v>
      </c>
      <c r="G30" s="1" t="s">
        <v>30</v>
      </c>
      <c r="I30" s="1" t="s">
        <v>29</v>
      </c>
      <c r="J30" s="1">
        <f>(J25*C11+J26*C3)*J22</f>
        <v>142.57265624999999</v>
      </c>
      <c r="K30" s="1" t="s">
        <v>30</v>
      </c>
      <c r="M30" s="1" t="s">
        <v>25</v>
      </c>
      <c r="N30" s="17">
        <v>1.5</v>
      </c>
      <c r="O30" s="18"/>
    </row>
    <row r="31" spans="1:15" x14ac:dyDescent="0.2">
      <c r="A31" s="1" t="s">
        <v>31</v>
      </c>
      <c r="B31" s="1">
        <f>(B25*C11+B26*C3)*B20</f>
        <v>47.876249999999999</v>
      </c>
      <c r="C31" s="1" t="s">
        <v>32</v>
      </c>
      <c r="E31" s="1" t="s">
        <v>31</v>
      </c>
      <c r="F31" s="1">
        <f>F20*(F25*C11+F26*C3)</f>
        <v>30.978750000000002</v>
      </c>
      <c r="G31" s="1" t="s">
        <v>32</v>
      </c>
      <c r="I31" s="1" t="s">
        <v>31</v>
      </c>
      <c r="J31" s="1">
        <f>(J25*C11+J26*C3)*J20/2</f>
        <v>21.121875000000003</v>
      </c>
      <c r="K31" s="1" t="s">
        <v>32</v>
      </c>
      <c r="M31" s="1" t="s">
        <v>26</v>
      </c>
      <c r="N31" s="17">
        <v>0.75</v>
      </c>
      <c r="O31" s="18"/>
    </row>
    <row r="32" spans="1:15" x14ac:dyDescent="0.2">
      <c r="A32" s="1" t="s">
        <v>33</v>
      </c>
      <c r="B32" s="1">
        <f>(B31*B21^2)/8</f>
        <v>1090.6808203124999</v>
      </c>
      <c r="C32" s="1" t="s">
        <v>34</v>
      </c>
      <c r="E32" s="1" t="s">
        <v>33</v>
      </c>
      <c r="F32" s="1">
        <f>(F31*F21^2)/8</f>
        <v>705.73464843750003</v>
      </c>
      <c r="G32" s="1" t="s">
        <v>34</v>
      </c>
      <c r="I32" s="1" t="s">
        <v>33</v>
      </c>
      <c r="J32" s="1">
        <f>J31*J21^2/8</f>
        <v>481.18271484375009</v>
      </c>
      <c r="K32" s="1" t="s">
        <v>34</v>
      </c>
      <c r="M32" s="1"/>
      <c r="N32" s="1"/>
      <c r="O32" s="1"/>
    </row>
    <row r="33" spans="13:15" x14ac:dyDescent="0.2">
      <c r="M33" s="12" t="s">
        <v>28</v>
      </c>
      <c r="N33" s="13"/>
      <c r="O33" s="14"/>
    </row>
    <row r="34" spans="13:15" x14ac:dyDescent="0.2">
      <c r="M34" s="1" t="s">
        <v>29</v>
      </c>
      <c r="N34" s="1">
        <f>(N29*C11+N30*C3)*N22+(N29*C11+N30*C3)*N27</f>
        <v>427.71796874999995</v>
      </c>
      <c r="O34" s="1" t="s">
        <v>30</v>
      </c>
    </row>
    <row r="35" spans="13:15" x14ac:dyDescent="0.2">
      <c r="M35" s="1" t="s">
        <v>31</v>
      </c>
      <c r="N35" s="1">
        <f>(N29*O11+N30*O3)*N20</f>
        <v>0</v>
      </c>
      <c r="O35" s="1" t="s">
        <v>32</v>
      </c>
    </row>
    <row r="36" spans="13:15" x14ac:dyDescent="0.2">
      <c r="M36" s="1" t="s">
        <v>33</v>
      </c>
      <c r="N36" s="1">
        <f>(N35*N21^2)/8</f>
        <v>0</v>
      </c>
      <c r="O36" s="1" t="s">
        <v>34</v>
      </c>
    </row>
  </sheetData>
  <mergeCells count="36">
    <mergeCell ref="M33:O33"/>
    <mergeCell ref="M17:O17"/>
    <mergeCell ref="I24:K24"/>
    <mergeCell ref="M28:O28"/>
    <mergeCell ref="A24:C24"/>
    <mergeCell ref="E24:G24"/>
    <mergeCell ref="E28:G28"/>
    <mergeCell ref="A28:C28"/>
    <mergeCell ref="M18:O18"/>
    <mergeCell ref="M19:O19"/>
    <mergeCell ref="N29:O29"/>
    <mergeCell ref="N30:O30"/>
    <mergeCell ref="N31:O31"/>
    <mergeCell ref="F27:G27"/>
    <mergeCell ref="E29:G29"/>
    <mergeCell ref="B25:C25"/>
    <mergeCell ref="A29:C29"/>
    <mergeCell ref="I29:K29"/>
    <mergeCell ref="J25:K25"/>
    <mergeCell ref="J26:K26"/>
    <mergeCell ref="J27:K27"/>
    <mergeCell ref="I28:K28"/>
    <mergeCell ref="F25:G25"/>
    <mergeCell ref="F26:G26"/>
    <mergeCell ref="B26:C26"/>
    <mergeCell ref="B27:C27"/>
    <mergeCell ref="A1:C1"/>
    <mergeCell ref="A19:C19"/>
    <mergeCell ref="I19:K19"/>
    <mergeCell ref="A18:C18"/>
    <mergeCell ref="I17:K17"/>
    <mergeCell ref="I23:K23"/>
    <mergeCell ref="E18:G18"/>
    <mergeCell ref="E19:G19"/>
    <mergeCell ref="M23:O23"/>
    <mergeCell ref="M24:O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5C8E-C876-4C3C-AF6B-EDEECEAD28E6}">
  <dimension ref="A1:D35"/>
  <sheetViews>
    <sheetView tabSelected="1" workbookViewId="0">
      <selection activeCell="A42" sqref="A42"/>
    </sheetView>
  </sheetViews>
  <sheetFormatPr baseColWidth="10" defaultColWidth="8.83203125" defaultRowHeight="15" x14ac:dyDescent="0.2"/>
  <cols>
    <col min="1" max="1" width="51.83203125" customWidth="1"/>
    <col min="2" max="2" width="15.6640625" customWidth="1"/>
    <col min="3" max="3" width="28.33203125" customWidth="1"/>
  </cols>
  <sheetData>
    <row r="1" spans="1:4" ht="22" x14ac:dyDescent="0.3">
      <c r="A1" s="8" t="s">
        <v>35</v>
      </c>
      <c r="B1" s="9"/>
      <c r="C1" s="10"/>
    </row>
    <row r="2" spans="1:4" ht="21" customHeight="1" x14ac:dyDescent="0.2">
      <c r="A2" s="5" t="s">
        <v>36</v>
      </c>
      <c r="B2" s="6"/>
      <c r="C2" s="7"/>
    </row>
    <row r="3" spans="1:4" ht="22.5" customHeight="1" x14ac:dyDescent="0.2">
      <c r="A3" s="1" t="s">
        <v>37</v>
      </c>
      <c r="B3" s="1">
        <f>('Secondary beams'!B30)/2</f>
        <v>323.16468750000001</v>
      </c>
      <c r="C3" s="1" t="s">
        <v>30</v>
      </c>
    </row>
    <row r="4" spans="1:4" x14ac:dyDescent="0.2">
      <c r="A4" s="5"/>
      <c r="B4" s="6"/>
      <c r="C4" s="7"/>
    </row>
    <row r="5" spans="1:4" x14ac:dyDescent="0.2">
      <c r="A5" s="5" t="s">
        <v>38</v>
      </c>
      <c r="B5" s="6"/>
      <c r="C5" s="7"/>
    </row>
    <row r="6" spans="1:4" x14ac:dyDescent="0.2">
      <c r="A6" s="1" t="s">
        <v>39</v>
      </c>
      <c r="B6" s="3">
        <v>8.5</v>
      </c>
      <c r="C6" s="1" t="s">
        <v>19</v>
      </c>
    </row>
    <row r="7" spans="1:4" x14ac:dyDescent="0.2">
      <c r="A7" s="5"/>
      <c r="B7" s="6"/>
      <c r="C7" s="7"/>
    </row>
    <row r="8" spans="1:4" x14ac:dyDescent="0.2">
      <c r="A8" s="5" t="s">
        <v>40</v>
      </c>
      <c r="B8" s="6"/>
      <c r="C8" s="7"/>
    </row>
    <row r="9" spans="1:4" x14ac:dyDescent="0.2">
      <c r="A9" s="1" t="s">
        <v>41</v>
      </c>
      <c r="B9" s="1">
        <f>B3</f>
        <v>323.16468750000001</v>
      </c>
      <c r="C9" s="1" t="s">
        <v>30</v>
      </c>
    </row>
    <row r="10" spans="1:4" x14ac:dyDescent="0.2">
      <c r="A10" s="1" t="s">
        <v>33</v>
      </c>
      <c r="B10" s="1">
        <f>(B3*B6)/2</f>
        <v>1373.449921875</v>
      </c>
      <c r="C10" s="1" t="s">
        <v>34</v>
      </c>
    </row>
    <row r="11" spans="1:4" x14ac:dyDescent="0.2">
      <c r="A11" s="5"/>
      <c r="B11" s="6"/>
      <c r="C11" s="7"/>
    </row>
    <row r="12" spans="1:4" x14ac:dyDescent="0.2">
      <c r="A12" s="5" t="s">
        <v>42</v>
      </c>
      <c r="B12" s="6"/>
      <c r="C12" s="6"/>
      <c r="D12" s="7"/>
    </row>
    <row r="13" spans="1:4" x14ac:dyDescent="0.2">
      <c r="A13" s="5" t="s">
        <v>43</v>
      </c>
      <c r="B13" s="7"/>
      <c r="C13" s="1">
        <f>'Secondary beams'!B30</f>
        <v>646.32937500000003</v>
      </c>
      <c r="D13" s="1" t="s">
        <v>30</v>
      </c>
    </row>
    <row r="14" spans="1:4" x14ac:dyDescent="0.2">
      <c r="A14" s="5" t="s">
        <v>44</v>
      </c>
      <c r="B14" s="7"/>
      <c r="C14" s="1">
        <f>(B3/2)*2</f>
        <v>323.16468750000001</v>
      </c>
      <c r="D14" s="1" t="s">
        <v>30</v>
      </c>
    </row>
    <row r="15" spans="1:4" x14ac:dyDescent="0.2">
      <c r="A15" s="5" t="s">
        <v>45</v>
      </c>
      <c r="B15" s="7"/>
      <c r="C15" s="1">
        <f>SUM(C13:C14)</f>
        <v>969.49406250000004</v>
      </c>
      <c r="D15" s="1" t="s">
        <v>30</v>
      </c>
    </row>
    <row r="16" spans="1:4" x14ac:dyDescent="0.2">
      <c r="A16" s="4"/>
      <c r="B16" s="4"/>
    </row>
    <row r="17" spans="1:3" x14ac:dyDescent="0.2">
      <c r="A17" s="4"/>
      <c r="B17" s="4"/>
    </row>
    <row r="18" spans="1:3" ht="22" x14ac:dyDescent="0.3">
      <c r="A18" s="8" t="s">
        <v>46</v>
      </c>
      <c r="B18" s="9"/>
      <c r="C18" s="10"/>
    </row>
    <row r="19" spans="1:3" x14ac:dyDescent="0.2">
      <c r="A19" s="5" t="s">
        <v>47</v>
      </c>
      <c r="B19" s="6"/>
      <c r="C19" s="7"/>
    </row>
    <row r="20" spans="1:3" x14ac:dyDescent="0.2">
      <c r="A20" s="2" t="s">
        <v>48</v>
      </c>
      <c r="B20" s="2">
        <f>'Secondary beams'!B30/2</f>
        <v>323.16468750000001</v>
      </c>
      <c r="C20" s="1" t="s">
        <v>30</v>
      </c>
    </row>
    <row r="21" spans="1:3" x14ac:dyDescent="0.2">
      <c r="A21" s="5"/>
      <c r="B21" s="6"/>
      <c r="C21" s="7"/>
    </row>
    <row r="22" spans="1:3" x14ac:dyDescent="0.2">
      <c r="A22" s="5" t="s">
        <v>49</v>
      </c>
      <c r="B22" s="6"/>
      <c r="C22" s="7"/>
    </row>
    <row r="23" spans="1:3" x14ac:dyDescent="0.2">
      <c r="A23" s="1" t="s">
        <v>43</v>
      </c>
      <c r="B23" s="1">
        <f>'Secondary beams'!F30/2</f>
        <v>209.10656250000002</v>
      </c>
      <c r="C23" s="1" t="s">
        <v>30</v>
      </c>
    </row>
    <row r="24" spans="1:3" x14ac:dyDescent="0.2">
      <c r="A24" s="1" t="s">
        <v>44</v>
      </c>
      <c r="B24" s="1">
        <f>B20/2</f>
        <v>161.58234375000001</v>
      </c>
      <c r="C24" s="1" t="s">
        <v>30</v>
      </c>
    </row>
    <row r="25" spans="1:3" x14ac:dyDescent="0.2">
      <c r="A25" s="1" t="s">
        <v>50</v>
      </c>
      <c r="B25" s="1">
        <f>B23+B24</f>
        <v>370.68890625000006</v>
      </c>
      <c r="C25" s="1" t="s">
        <v>30</v>
      </c>
    </row>
    <row r="28" spans="1:3" ht="22" x14ac:dyDescent="0.3">
      <c r="A28" s="8" t="s">
        <v>51</v>
      </c>
      <c r="B28" s="9"/>
      <c r="C28" s="10"/>
    </row>
    <row r="29" spans="1:3" x14ac:dyDescent="0.2">
      <c r="A29" s="5" t="s">
        <v>47</v>
      </c>
      <c r="B29" s="6"/>
      <c r="C29" s="7"/>
    </row>
    <row r="30" spans="1:3" x14ac:dyDescent="0.2">
      <c r="A30" s="2" t="s">
        <v>48</v>
      </c>
      <c r="B30" s="2">
        <f>'Secondary beams'!N34/2</f>
        <v>213.85898437499998</v>
      </c>
      <c r="C30" s="1" t="s">
        <v>30</v>
      </c>
    </row>
    <row r="31" spans="1:3" x14ac:dyDescent="0.2">
      <c r="A31" s="5"/>
      <c r="B31" s="6"/>
      <c r="C31" s="7"/>
    </row>
    <row r="32" spans="1:3" x14ac:dyDescent="0.2">
      <c r="A32" s="5" t="s">
        <v>49</v>
      </c>
      <c r="B32" s="6"/>
      <c r="C32" s="7"/>
    </row>
    <row r="33" spans="1:3" x14ac:dyDescent="0.2">
      <c r="A33" s="1" t="s">
        <v>43</v>
      </c>
      <c r="B33" s="1">
        <f>'Secondary beams'!J30/2</f>
        <v>71.286328124999997</v>
      </c>
      <c r="C33" s="1" t="s">
        <v>30</v>
      </c>
    </row>
    <row r="34" spans="1:3" x14ac:dyDescent="0.2">
      <c r="A34" s="1" t="s">
        <v>44</v>
      </c>
      <c r="B34" s="1">
        <f>B30/2</f>
        <v>106.92949218749999</v>
      </c>
      <c r="C34" s="1" t="s">
        <v>30</v>
      </c>
    </row>
    <row r="35" spans="1:3" x14ac:dyDescent="0.2">
      <c r="A35" s="1" t="s">
        <v>50</v>
      </c>
      <c r="B35" s="1">
        <f>B33+B34</f>
        <v>178.2158203125</v>
      </c>
      <c r="C35" s="1" t="s">
        <v>30</v>
      </c>
    </row>
  </sheetData>
  <mergeCells count="19">
    <mergeCell ref="A1:C1"/>
    <mergeCell ref="A5:C5"/>
    <mergeCell ref="A8:C8"/>
    <mergeCell ref="A4:C4"/>
    <mergeCell ref="A7:C7"/>
    <mergeCell ref="A2:C2"/>
    <mergeCell ref="A15:B15"/>
    <mergeCell ref="A12:D12"/>
    <mergeCell ref="A13:B13"/>
    <mergeCell ref="A14:B14"/>
    <mergeCell ref="A11:C11"/>
    <mergeCell ref="A31:C31"/>
    <mergeCell ref="A32:C32"/>
    <mergeCell ref="A18:C18"/>
    <mergeCell ref="A19:C19"/>
    <mergeCell ref="A21:C21"/>
    <mergeCell ref="A22:C22"/>
    <mergeCell ref="A28:C28"/>
    <mergeCell ref="A29:C2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3311B4AF4424FBCB1BACAB138C90C" ma:contentTypeVersion="9" ma:contentTypeDescription="Create a new document." ma:contentTypeScope="" ma:versionID="46264f734b04e1b6d0c605f30822fad8">
  <xsd:schema xmlns:xsd="http://www.w3.org/2001/XMLSchema" xmlns:xs="http://www.w3.org/2001/XMLSchema" xmlns:p="http://schemas.microsoft.com/office/2006/metadata/properties" xmlns:ns3="b0c48430-4b5b-4d14-b1b6-e0aa43896cc5" targetNamespace="http://schemas.microsoft.com/office/2006/metadata/properties" ma:root="true" ma:fieldsID="b063392ff8cbae3749426c9ee96dc705" ns3:_="">
    <xsd:import namespace="b0c48430-4b5b-4d14-b1b6-e0aa43896c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48430-4b5b-4d14-b1b6-e0aa43896c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c48430-4b5b-4d14-b1b6-e0aa43896c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1BBEFD-D611-45A4-AF47-C5C78A047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c48430-4b5b-4d14-b1b6-e0aa43896c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ED0662-EA8C-4D45-9EA5-4E3D99322558}">
  <ds:schemaRefs>
    <ds:schemaRef ds:uri="http://schemas.microsoft.com/office/2006/metadata/properties"/>
    <ds:schemaRef ds:uri="http://schemas.microsoft.com/office/infopath/2007/PartnerControls"/>
    <ds:schemaRef ds:uri="b0c48430-4b5b-4d14-b1b6-e0aa43896cc5"/>
  </ds:schemaRefs>
</ds:datastoreItem>
</file>

<file path=customXml/itemProps3.xml><?xml version="1.0" encoding="utf-8"?>
<ds:datastoreItem xmlns:ds="http://schemas.openxmlformats.org/officeDocument/2006/customXml" ds:itemID="{F02829F5-D41B-404C-A4AA-D7D2F18554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Secondary beams</vt:lpstr>
      <vt:lpstr>Primary beams - 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Chan, Vincent</dc:creator>
  <cp:keywords/>
  <dc:description/>
  <cp:lastModifiedBy>Peng, John</cp:lastModifiedBy>
  <cp:revision/>
  <dcterms:created xsi:type="dcterms:W3CDTF">2026-02-18T13:55:47Z</dcterms:created>
  <dcterms:modified xsi:type="dcterms:W3CDTF">2026-03-05T20:16:04Z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0x010100FB13311B4AF4424FBCB1BACAB138C90C</vt:lpwstr>
  </property>
</Properties>
</file>